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0" yWindow="2445" windowWidth="21600" windowHeight="13065" tabRatio="600" firstSheet="0" activeTab="2" autoFilterDateGrouping="1"/>
  </bookViews>
  <sheets>
    <sheet xmlns:r="http://schemas.openxmlformats.org/officeDocument/2006/relationships" name="Sayfa1" sheetId="1" state="visible" r:id="rId1"/>
    <sheet xmlns:r="http://schemas.openxmlformats.org/officeDocument/2006/relationships" name="Sayfa2" sheetId="2" state="visible" r:id="rId2"/>
    <sheet xmlns:r="http://schemas.openxmlformats.org/officeDocument/2006/relationships" name="Sayfa3" sheetId="3" state="visible" r:id="rId3"/>
    <sheet xmlns:r="http://schemas.openxmlformats.org/officeDocument/2006/relationships" name="Sayfa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Arial"/>
      <charset val="162"/>
      <family val="2"/>
      <color rgb="FF000000"/>
      <sz val="12"/>
    </font>
    <font>
      <name val="Arial"/>
      <charset val="162"/>
      <family val="2"/>
      <b val="1"/>
      <color rgb="FF000000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1" fillId="0" borderId="0"/>
    <xf numFmtId="9" fontId="1" fillId="0" borderId="0"/>
  </cellStyleXfs>
  <cellXfs count="12">
    <xf numFmtId="0" fontId="0" fillId="0" borderId="0" pivotButton="0" quotePrefix="0" xfId="0"/>
    <xf numFmtId="2" fontId="0" fillId="0" borderId="0" pivotButton="0" quotePrefix="0" xfId="0"/>
    <xf numFmtId="10" fontId="0" fillId="0" borderId="0" pivotButton="0" quotePrefix="0" xfId="1"/>
    <xf numFmtId="0" fontId="2" fillId="0" borderId="0" pivotButton="0" quotePrefix="0" xfId="0"/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3" applyAlignment="1" pivotButton="0" quotePrefix="0" xfId="0">
      <alignment vertical="center" wrapText="1"/>
    </xf>
    <xf numFmtId="164" fontId="3" fillId="0" borderId="2" applyAlignment="1" pivotButton="0" quotePrefix="0" xfId="0">
      <alignment vertical="center"/>
    </xf>
    <xf numFmtId="164" fontId="3" fillId="0" borderId="4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30" sqref="A30"/>
    </sheetView>
  </sheetViews>
  <sheetFormatPr baseColWidth="8" defaultRowHeight="15"/>
  <cols>
    <col width="17.7109375" bestFit="1" customWidth="1" min="1" max="1"/>
  </cols>
  <sheetData>
    <row r="1">
      <c r="A1" t="inlineStr">
        <is>
          <t>Speed distribution</t>
        </is>
      </c>
      <c r="B1" t="inlineStr">
        <is>
          <t>uniform(0.3, 1.0)</t>
        </is>
      </c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topLeftCell="A7" workbookViewId="0">
      <selection activeCell="B33" sqref="B33"/>
    </sheetView>
  </sheetViews>
  <sheetFormatPr baseColWidth="8" defaultRowHeight="15"/>
  <cols>
    <col width="56.28515625" bestFit="1" customWidth="1" min="1" max="1"/>
    <col width="17.7109375" bestFit="1" customWidth="1" min="2" max="2"/>
    <col width="12.140625" bestFit="1" customWidth="1" min="3" max="3"/>
    <col width="11.5703125" bestFit="1" customWidth="1" min="4" max="4"/>
    <col width="20.42578125" bestFit="1" customWidth="1" min="6" max="6"/>
  </cols>
  <sheetData>
    <row r="1">
      <c r="B1" s="11" t="inlineStr">
        <is>
          <t>Run</t>
        </is>
      </c>
    </row>
    <row r="2">
      <c r="A2" t="inlineStr">
        <is>
          <t>Measurement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t="inlineStr">
        <is>
          <t>Wait in examination queue</t>
        </is>
      </c>
      <c r="B3" t="n">
        <v>235.71</v>
      </c>
      <c r="C3" t="n">
        <v>203.83</v>
      </c>
      <c r="D3" t="n">
        <v>209.62</v>
      </c>
      <c r="E3" t="n">
        <v>225.54</v>
      </c>
      <c r="F3" t="n">
        <v>187.63</v>
      </c>
      <c r="G3" t="n">
        <v>220.08</v>
      </c>
      <c r="H3" t="n">
        <v>241.37</v>
      </c>
      <c r="I3" t="n">
        <v>206.67</v>
      </c>
      <c r="J3" t="n">
        <v>225.26</v>
      </c>
      <c r="K3" t="n">
        <v>277.9</v>
      </c>
    </row>
    <row r="4">
      <c r="A4" t="inlineStr">
        <is>
          <t>Wait in registration queue</t>
        </is>
      </c>
      <c r="B4" s="1" t="n">
        <v>8.789999999999999</v>
      </c>
      <c r="C4" t="n">
        <v>7.57</v>
      </c>
      <c r="D4" t="n">
        <v>10.52</v>
      </c>
      <c r="E4" t="n">
        <v>22.42</v>
      </c>
      <c r="F4" t="n">
        <v>14.39</v>
      </c>
      <c r="G4" t="n">
        <v>6.75</v>
      </c>
      <c r="H4" t="n">
        <v>11.73</v>
      </c>
      <c r="I4" t="n">
        <v>12.16</v>
      </c>
      <c r="J4" t="n">
        <v>20.19</v>
      </c>
      <c r="K4" t="n">
        <v>18.72</v>
      </c>
    </row>
    <row r="5">
      <c r="A5" t="inlineStr">
        <is>
          <t>Registration delay</t>
        </is>
      </c>
      <c r="B5" t="n">
        <v>2</v>
      </c>
      <c r="C5" t="n">
        <v>2.23</v>
      </c>
      <c r="D5" t="n">
        <v>2.35</v>
      </c>
      <c r="E5" t="n">
        <v>2.27</v>
      </c>
      <c r="F5" t="n">
        <v>2.1</v>
      </c>
      <c r="G5" t="n">
        <v>1.82</v>
      </c>
      <c r="H5" t="n">
        <v>1.96</v>
      </c>
      <c r="I5" t="n">
        <v>2.12</v>
      </c>
      <c r="J5" t="n">
        <v>2.12</v>
      </c>
      <c r="K5" t="n">
        <v>2.36</v>
      </c>
    </row>
    <row r="6">
      <c r="A6" t="inlineStr">
        <is>
          <t>Examination delay</t>
        </is>
      </c>
      <c r="B6" t="n">
        <v>11.37</v>
      </c>
      <c r="C6" t="n">
        <v>11.57</v>
      </c>
      <c r="D6" t="n">
        <v>11.23</v>
      </c>
      <c r="E6" t="n">
        <v>11.59</v>
      </c>
      <c r="F6" t="n">
        <v>11.33</v>
      </c>
      <c r="G6" t="n">
        <v>12.19</v>
      </c>
      <c r="H6" t="n">
        <v>11.86</v>
      </c>
      <c r="I6" t="n">
        <v>10.9</v>
      </c>
      <c r="J6" t="n">
        <v>12.1</v>
      </c>
      <c r="K6" t="n">
        <v>12.87</v>
      </c>
    </row>
    <row r="7">
      <c r="A7" t="inlineStr">
        <is>
          <t>Patient age</t>
        </is>
      </c>
      <c r="B7" t="n">
        <v>42</v>
      </c>
      <c r="C7" t="n">
        <v>42.19</v>
      </c>
      <c r="D7" t="n">
        <v>40.35</v>
      </c>
      <c r="E7" t="n">
        <v>41.02</v>
      </c>
      <c r="F7" t="n">
        <v>42.98</v>
      </c>
      <c r="G7" t="n">
        <v>38.64</v>
      </c>
      <c r="H7" t="n">
        <v>42.39</v>
      </c>
      <c r="I7" t="n">
        <v>39.82</v>
      </c>
      <c r="J7" t="n">
        <v>39.86</v>
      </c>
      <c r="K7" t="n">
        <v>37.28</v>
      </c>
    </row>
    <row r="8">
      <c r="A8" t="inlineStr">
        <is>
          <t>Length of stay</t>
        </is>
      </c>
      <c r="B8" t="n">
        <v>257.35</v>
      </c>
      <c r="C8" t="n">
        <v>224.82</v>
      </c>
      <c r="D8" t="n">
        <v>231.87</v>
      </c>
      <c r="E8" t="n">
        <v>254.42</v>
      </c>
      <c r="F8" t="n">
        <v>211.25</v>
      </c>
      <c r="G8" t="n">
        <v>240.94</v>
      </c>
      <c r="H8" t="n">
        <v>264.89</v>
      </c>
      <c r="I8" t="n">
        <v>229.4</v>
      </c>
      <c r="J8" t="n">
        <v>253.27</v>
      </c>
      <c r="K8" t="n">
        <v>306.75</v>
      </c>
    </row>
    <row r="9">
      <c r="A9" t="inlineStr">
        <is>
          <t>Outpatient count</t>
        </is>
      </c>
      <c r="B9" t="n">
        <v>26</v>
      </c>
      <c r="C9" t="n">
        <v>22</v>
      </c>
      <c r="D9" t="n">
        <v>23</v>
      </c>
      <c r="E9" t="n">
        <v>26</v>
      </c>
      <c r="F9" t="n">
        <v>21</v>
      </c>
      <c r="G9" t="n">
        <v>22</v>
      </c>
      <c r="H9" t="n">
        <v>26</v>
      </c>
      <c r="I9" t="n">
        <v>25</v>
      </c>
      <c r="J9" t="n">
        <v>25</v>
      </c>
      <c r="K9" t="n">
        <v>28</v>
      </c>
    </row>
    <row r="10">
      <c r="A10" t="inlineStr">
        <is>
          <t>Patient has appointment</t>
        </is>
      </c>
      <c r="B10" t="n">
        <v>25</v>
      </c>
      <c r="C10" t="n">
        <v>25</v>
      </c>
      <c r="D10" t="n">
        <v>25</v>
      </c>
      <c r="E10" t="n">
        <v>25</v>
      </c>
      <c r="F10" t="n">
        <v>25</v>
      </c>
      <c r="G10" t="n">
        <v>25</v>
      </c>
      <c r="H10" t="n">
        <v>25</v>
      </c>
      <c r="I10" t="n">
        <v>25</v>
      </c>
      <c r="J10" t="n">
        <v>25</v>
      </c>
      <c r="K10" t="n">
        <v>25</v>
      </c>
    </row>
    <row r="11">
      <c r="A11" t="inlineStr">
        <is>
          <t>Priority group wait</t>
        </is>
      </c>
      <c r="B11" t="n">
        <v>178.777</v>
      </c>
      <c r="C11" t="n">
        <v>167.138</v>
      </c>
      <c r="D11" t="n">
        <v>294.126</v>
      </c>
      <c r="E11" t="n">
        <v>239.529</v>
      </c>
      <c r="F11" t="n">
        <v>192.866</v>
      </c>
      <c r="G11" t="n">
        <v>222.746</v>
      </c>
      <c r="H11" t="n">
        <v>160.824</v>
      </c>
      <c r="I11" t="n">
        <v>229.318</v>
      </c>
      <c r="J11" t="n">
        <v>303.725</v>
      </c>
      <c r="K11" t="n">
        <v>227.213</v>
      </c>
    </row>
    <row r="12">
      <c r="A12" t="inlineStr">
        <is>
          <t>Difference between</t>
        </is>
      </c>
    </row>
    <row r="13" ht="15.75" customHeight="1" thickBot="1">
      <c r="C13" t="inlineStr">
        <is>
          <t>Std. Dev.</t>
        </is>
      </c>
      <c r="D13" t="inlineStr">
        <is>
          <t>CI</t>
        </is>
      </c>
      <c r="E13" t="inlineStr">
        <is>
          <t>New CI</t>
        </is>
      </c>
      <c r="F13" t="inlineStr">
        <is>
          <t>Required Sample Size</t>
        </is>
      </c>
      <c r="G13" t="inlineStr">
        <is>
          <t>CI Test</t>
        </is>
      </c>
    </row>
    <row r="14" ht="15.75" customHeight="1" thickBot="1">
      <c r="A14" s="4" t="inlineStr">
        <is>
          <t>Average patient age</t>
        </is>
      </c>
      <c r="B14">
        <f>AVERAGE(B7:K7)</f>
        <v/>
      </c>
      <c r="C14">
        <f>_xlfn.STDEV.S(B7:K7)</f>
        <v/>
      </c>
      <c r="D14">
        <f>CONFIDENCE(0.05,C14,10)</f>
        <v/>
      </c>
      <c r="E14">
        <f>D14*0.9</f>
        <v/>
      </c>
      <c r="F14" t="n">
        <v>12</v>
      </c>
      <c r="G14">
        <f>CONFIDENCE(0.05,C14,12)</f>
        <v/>
      </c>
    </row>
    <row r="15" ht="15.75" customHeight="1" thickBot="1">
      <c r="A15" s="5" t="inlineStr">
        <is>
          <t>Average number of patients has appointment</t>
        </is>
      </c>
      <c r="B15">
        <f>AVERAGE(B10:K10)</f>
        <v/>
      </c>
      <c r="C15">
        <f>_xlfn.STDEV.S(B10:K10)</f>
        <v/>
      </c>
      <c r="D15">
        <f>CONFIDENCE(0.05,C15,10)</f>
        <v/>
      </c>
      <c r="E15">
        <f>D15*0.9</f>
        <v/>
      </c>
      <c r="G15">
        <f>CONFIDENCE(0.05,C15,10)</f>
        <v/>
      </c>
    </row>
    <row r="16" ht="15.75" customHeight="1" thickBot="1">
      <c r="A16" s="5" t="inlineStr">
        <is>
          <t>Average number of patients without appointment</t>
        </is>
      </c>
      <c r="B16">
        <f>AVERAGE(B9:K9)</f>
        <v/>
      </c>
      <c r="C16">
        <f>_xlfn.STDEV.S(B9:K9)</f>
        <v/>
      </c>
      <c r="D16">
        <f>CONFIDENCE(0.05,C16,10)</f>
        <v/>
      </c>
      <c r="E16">
        <f>D16*0.9</f>
        <v/>
      </c>
      <c r="F16" t="n">
        <v>12</v>
      </c>
      <c r="G16">
        <f>CONFIDENCE(0.05,C16,12)</f>
        <v/>
      </c>
    </row>
    <row r="17" ht="15.75" customHeight="1" thickBot="1">
      <c r="A17" s="5" t="inlineStr">
        <is>
          <t>Average wait time for registration</t>
        </is>
      </c>
      <c r="B17" s="1">
        <f>AVERAGE(B4:K4)</f>
        <v/>
      </c>
      <c r="C17">
        <f>_xlfn.STDEV.S(B4:K4)</f>
        <v/>
      </c>
      <c r="D17">
        <f>CONFIDENCE(0.05,C17,10)</f>
        <v/>
      </c>
      <c r="E17">
        <f>D17*0.9</f>
        <v/>
      </c>
      <c r="G17">
        <f>CONFIDENCE(0.05,C17,10)</f>
        <v/>
      </c>
    </row>
    <row r="18" ht="15.75" customHeight="1" thickBot="1">
      <c r="A18" s="5" t="inlineStr">
        <is>
          <t>Average registration time</t>
        </is>
      </c>
      <c r="B18">
        <f>AVERAGE(B5:K5)</f>
        <v/>
      </c>
      <c r="C18">
        <f>_xlfn.STDEV.S(B5:K5)</f>
        <v/>
      </c>
      <c r="D18">
        <f>CONFIDENCE(0.05,C18,10)</f>
        <v/>
      </c>
      <c r="E18">
        <f>D18*0.9</f>
        <v/>
      </c>
      <c r="G18">
        <f>CONFIDENCE(0.05,C18,10)</f>
        <v/>
      </c>
    </row>
    <row r="19" ht="15.75" customHeight="1" thickBot="1">
      <c r="A19" s="5" t="inlineStr">
        <is>
          <t>Average wait for examination</t>
        </is>
      </c>
      <c r="B19">
        <f>AVERAGE(B3:K3)</f>
        <v/>
      </c>
      <c r="C19">
        <f>_xlfn.STDEV.S(B3:K3)</f>
        <v/>
      </c>
      <c r="D19">
        <f>CONFIDENCE(0.05,C19,10)</f>
        <v/>
      </c>
      <c r="E19">
        <f>D19*0.9</f>
        <v/>
      </c>
      <c r="G19">
        <f>CONFIDENCE(0.05,C19,12)</f>
        <v/>
      </c>
    </row>
    <row r="20" ht="15.75" customHeight="1" thickBot="1">
      <c r="A20" s="5" t="inlineStr">
        <is>
          <t>Average wait for examination (priority group)</t>
        </is>
      </c>
      <c r="B20">
        <f>AVERAGE(B11:K11)</f>
        <v/>
      </c>
      <c r="C20">
        <f>_xlfn.STDEV.S(B11:K11)</f>
        <v/>
      </c>
      <c r="D20">
        <f>CONFIDENCE(0.05,C20,10)</f>
        <v/>
      </c>
      <c r="E20">
        <f>D20*0.9</f>
        <v/>
      </c>
      <c r="G20">
        <f>CONFIDENCE(0.05,C20,10)</f>
        <v/>
      </c>
    </row>
    <row r="21" ht="15.75" customHeight="1" thickBot="1">
      <c r="A21" s="5" t="inlineStr">
        <is>
          <t>Average examination time</t>
        </is>
      </c>
      <c r="B21">
        <f>AVERAGE(B6:K6)</f>
        <v/>
      </c>
      <c r="C21">
        <f>_xlfn.STDEV.S(B6:K6)</f>
        <v/>
      </c>
      <c r="D21">
        <f>CONFIDENCE(0.05,C21,10)</f>
        <v/>
      </c>
      <c r="E21">
        <f>D21*0.9</f>
        <v/>
      </c>
      <c r="G21">
        <f>CONFIDENCE(0.05,C21,10)</f>
        <v/>
      </c>
    </row>
    <row r="22" ht="15.75" customHeight="1" thickBot="1">
      <c r="A22" s="5" t="inlineStr">
        <is>
          <t>Length of stay</t>
        </is>
      </c>
      <c r="B22">
        <f>AVERAGE(B8:K8)</f>
        <v/>
      </c>
      <c r="C22">
        <f>_xlfn.STDEV.S(B8:K8)</f>
        <v/>
      </c>
      <c r="D22">
        <f>CONFIDENCE(0.05,C22,10)</f>
        <v/>
      </c>
      <c r="E22">
        <f>D22*0.9</f>
        <v/>
      </c>
      <c r="G22">
        <f>CONFIDENCE(0.05,C22,13)</f>
        <v/>
      </c>
    </row>
    <row r="23" ht="15.75" customHeight="1" thickBot="1">
      <c r="A23" s="5" t="inlineStr">
        <is>
          <t>Wait time difference between priority group and others</t>
        </is>
      </c>
      <c r="B23" s="2">
        <f>(B19-B20)/B19</f>
        <v/>
      </c>
    </row>
    <row r="26">
      <c r="A26" s="3" t="inlineStr">
        <is>
          <t>Confidence</t>
        </is>
      </c>
    </row>
    <row r="27">
      <c r="A27" t="inlineStr">
        <is>
          <t>Significance</t>
        </is>
      </c>
      <c r="B27" t="n">
        <v>0.05</v>
      </c>
    </row>
    <row r="28">
      <c r="A28" t="inlineStr">
        <is>
          <t>Standard deviation</t>
        </is>
      </c>
      <c r="B28">
        <f>_xlfn.STDEV.S(B7:K7)</f>
        <v/>
      </c>
    </row>
    <row r="29">
      <c r="A29" t="inlineStr">
        <is>
          <t>Sample size</t>
        </is>
      </c>
      <c r="B29" t="n">
        <v>10</v>
      </c>
    </row>
    <row r="30">
      <c r="A30" t="inlineStr">
        <is>
          <t>Confidence interval</t>
        </is>
      </c>
      <c r="B30">
        <f>CONFIDENCE(B27,B28,B29)</f>
        <v/>
      </c>
    </row>
    <row r="32" ht="15.75" customHeight="1" thickBot="1">
      <c r="B32" t="inlineStr">
        <is>
          <t>Prediction Interval</t>
        </is>
      </c>
      <c r="C32" t="inlineStr">
        <is>
          <t>talpha/2,n−1</t>
        </is>
      </c>
    </row>
    <row r="33" ht="15.75" customHeight="1" thickBot="1">
      <c r="A33" s="4" t="inlineStr">
        <is>
          <t>Average patient age</t>
        </is>
      </c>
      <c r="B33">
        <f>$C$33*C14*SQRT(1+(1/10))</f>
        <v/>
      </c>
      <c r="C33" t="n">
        <v>2.26211</v>
      </c>
    </row>
    <row r="34" ht="15.75" customHeight="1" thickBot="1">
      <c r="A34" s="5" t="inlineStr">
        <is>
          <t>Average number of patients has appointment</t>
        </is>
      </c>
      <c r="B34">
        <f>$C$33*C15*SQRT(1+(1/10))</f>
        <v/>
      </c>
    </row>
    <row r="35" ht="15.75" customHeight="1" thickBot="1">
      <c r="A35" s="5" t="inlineStr">
        <is>
          <t>Average number of patients without appointment</t>
        </is>
      </c>
      <c r="B35">
        <f>$C$33*C16*SQRT(1+(1/10))</f>
        <v/>
      </c>
    </row>
    <row r="36" ht="15.75" customHeight="1" thickBot="1">
      <c r="A36" s="5" t="inlineStr">
        <is>
          <t>Average wait time for registration</t>
        </is>
      </c>
      <c r="B36">
        <f>$C$33*C17*SQRT(1+(1/10))</f>
        <v/>
      </c>
    </row>
    <row r="37" ht="15.75" customHeight="1" thickBot="1">
      <c r="A37" s="5" t="inlineStr">
        <is>
          <t>Average registration time</t>
        </is>
      </c>
      <c r="B37">
        <f>$C$33*C18*SQRT(1+(1/10))</f>
        <v/>
      </c>
    </row>
    <row r="38" ht="15.75" customHeight="1" thickBot="1">
      <c r="A38" s="5" t="inlineStr">
        <is>
          <t>Average wait for examination</t>
        </is>
      </c>
      <c r="B38">
        <f>$C$33*C19*SQRT(1+(1/10))</f>
        <v/>
      </c>
    </row>
    <row r="39" ht="15.75" customHeight="1" thickBot="1">
      <c r="A39" s="5" t="inlineStr">
        <is>
          <t>Average wait for examination (priority group)</t>
        </is>
      </c>
      <c r="B39">
        <f>$C$33*C20*SQRT(1+(1/10))</f>
        <v/>
      </c>
    </row>
    <row r="40" ht="15.75" customHeight="1" thickBot="1">
      <c r="A40" s="5" t="inlineStr">
        <is>
          <t>Average examination time</t>
        </is>
      </c>
      <c r="B40">
        <f>$C$33*C21*SQRT(1+(1/10))</f>
        <v/>
      </c>
    </row>
    <row r="41" ht="15.75" customHeight="1" thickBot="1">
      <c r="A41" s="5" t="inlineStr">
        <is>
          <t>Length of stay</t>
        </is>
      </c>
      <c r="B41">
        <f>$C$33*C22*SQRT(1+(1/10))</f>
        <v/>
      </c>
    </row>
    <row r="42" ht="15.75" customHeight="1" thickBot="1">
      <c r="A42" s="5" t="inlineStr">
        <is>
          <t>Wait time difference between priority group and others</t>
        </is>
      </c>
      <c r="B42">
        <f>$C$33*C23*SQRT(1+(1/10))</f>
        <v/>
      </c>
    </row>
  </sheetData>
  <mergeCells count="1">
    <mergeCell ref="B1:K1"/>
  </mergeCell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tabSelected="1" workbookViewId="0">
      <selection activeCell="B33" sqref="B33"/>
    </sheetView>
  </sheetViews>
  <sheetFormatPr baseColWidth="8" defaultRowHeight="15"/>
  <cols>
    <col width="56.28515625" bestFit="1" customWidth="1" min="1" max="1"/>
    <col width="17.7109375" bestFit="1" customWidth="1" min="2" max="2"/>
    <col width="12.140625" bestFit="1" customWidth="1" min="3" max="3"/>
    <col width="14.7109375" bestFit="1" customWidth="1" min="4" max="4"/>
    <col width="13.85546875" bestFit="1" customWidth="1" min="5" max="5"/>
    <col width="28.7109375" bestFit="1" customWidth="1" min="6" max="7"/>
  </cols>
  <sheetData>
    <row r="1">
      <c r="B1" s="11" t="inlineStr">
        <is>
          <t>Run</t>
        </is>
      </c>
    </row>
    <row r="2">
      <c r="A2" t="inlineStr">
        <is>
          <t>Measurement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t="inlineStr">
        <is>
          <t>Wait in examination queue</t>
        </is>
      </c>
      <c r="B3" t="n">
        <v>188.15</v>
      </c>
      <c r="C3" t="n">
        <v>213.46</v>
      </c>
      <c r="D3" t="n">
        <v>236.31</v>
      </c>
      <c r="E3" t="n">
        <v>235.97</v>
      </c>
      <c r="F3" t="n">
        <v>209.87</v>
      </c>
      <c r="G3" t="n">
        <v>181.04</v>
      </c>
      <c r="H3" t="n">
        <v>265.69</v>
      </c>
      <c r="I3" t="n">
        <v>201.89</v>
      </c>
      <c r="J3" t="n">
        <v>228.43</v>
      </c>
      <c r="K3" t="n">
        <v>257.14</v>
      </c>
    </row>
    <row r="4">
      <c r="A4" t="inlineStr">
        <is>
          <t>Wait in registration queue</t>
        </is>
      </c>
      <c r="B4" t="n">
        <v>8.18</v>
      </c>
      <c r="C4" t="n">
        <v>18.54</v>
      </c>
      <c r="D4" t="n">
        <v>13.85</v>
      </c>
      <c r="E4" t="n">
        <v>17.89</v>
      </c>
      <c r="F4" t="n">
        <v>18.57</v>
      </c>
      <c r="G4" t="n">
        <v>14.75</v>
      </c>
      <c r="H4" t="n">
        <v>12.07</v>
      </c>
      <c r="I4" t="n">
        <v>7.8</v>
      </c>
      <c r="J4" t="n">
        <v>12.75</v>
      </c>
      <c r="K4" t="n">
        <v>12.88</v>
      </c>
    </row>
    <row r="5">
      <c r="A5" t="inlineStr">
        <is>
          <t>Registration delay</t>
        </is>
      </c>
      <c r="B5" t="n">
        <v>2.04</v>
      </c>
      <c r="C5" t="n">
        <v>2.11</v>
      </c>
      <c r="D5" t="n">
        <v>2.37</v>
      </c>
      <c r="E5" t="n">
        <v>2.26</v>
      </c>
      <c r="F5" t="n">
        <v>2.54</v>
      </c>
      <c r="G5" t="n">
        <v>2.25</v>
      </c>
      <c r="H5" t="n">
        <v>2.24</v>
      </c>
      <c r="I5" t="n">
        <v>2.04</v>
      </c>
      <c r="J5" t="n">
        <v>2.17</v>
      </c>
      <c r="K5" t="n">
        <v>2.17</v>
      </c>
    </row>
    <row r="6">
      <c r="A6" t="inlineStr">
        <is>
          <t>Examination delay</t>
        </is>
      </c>
      <c r="B6" t="n">
        <v>11.53</v>
      </c>
      <c r="C6" t="n">
        <v>11.08</v>
      </c>
      <c r="D6" t="n">
        <v>11.1</v>
      </c>
      <c r="E6" t="n">
        <v>11.83</v>
      </c>
      <c r="F6" t="n">
        <v>11.81</v>
      </c>
      <c r="G6" t="n">
        <v>11.29</v>
      </c>
      <c r="H6" t="n">
        <v>12</v>
      </c>
      <c r="I6" t="n">
        <v>11.19</v>
      </c>
      <c r="J6" t="n">
        <v>11.24</v>
      </c>
      <c r="K6" t="n">
        <v>11.85</v>
      </c>
    </row>
    <row r="7">
      <c r="A7" t="inlineStr">
        <is>
          <t>Patient age</t>
        </is>
      </c>
      <c r="B7" t="n">
        <v>39.23</v>
      </c>
      <c r="C7" t="n">
        <v>39.38</v>
      </c>
      <c r="D7" t="n">
        <v>37.96</v>
      </c>
      <c r="E7" t="n">
        <v>45.52</v>
      </c>
      <c r="F7" t="n">
        <v>38.62</v>
      </c>
      <c r="G7" t="n">
        <v>38.02</v>
      </c>
      <c r="H7" t="n">
        <v>39.5</v>
      </c>
      <c r="I7" t="n">
        <v>35.96</v>
      </c>
      <c r="J7" t="n">
        <v>46.09</v>
      </c>
      <c r="K7" t="n">
        <v>41.59</v>
      </c>
    </row>
    <row r="8">
      <c r="A8" t="inlineStr">
        <is>
          <t>Length of stay</t>
        </is>
      </c>
      <c r="B8" t="n">
        <v>209.15</v>
      </c>
      <c r="C8" t="n">
        <v>240.02</v>
      </c>
      <c r="D8" t="n">
        <v>260.57</v>
      </c>
      <c r="E8" t="n">
        <v>262.96</v>
      </c>
      <c r="F8" t="n">
        <v>236.29</v>
      </c>
      <c r="G8" t="n">
        <v>204.6</v>
      </c>
      <c r="H8" t="n">
        <v>290.21</v>
      </c>
      <c r="I8" t="n">
        <v>222.58</v>
      </c>
      <c r="J8" t="n">
        <v>252.5</v>
      </c>
      <c r="K8" t="n">
        <v>281.76</v>
      </c>
    </row>
    <row r="9">
      <c r="A9" t="inlineStr">
        <is>
          <t>Outpatient count</t>
        </is>
      </c>
      <c r="B9" t="n">
        <v>22</v>
      </c>
      <c r="C9" t="n">
        <v>27</v>
      </c>
      <c r="D9" t="n">
        <v>27</v>
      </c>
      <c r="E9" t="n">
        <v>27</v>
      </c>
      <c r="F9" t="n">
        <v>22</v>
      </c>
      <c r="G9" t="n">
        <v>20</v>
      </c>
      <c r="H9" t="n">
        <v>29</v>
      </c>
      <c r="I9" t="n">
        <v>23</v>
      </c>
      <c r="J9" t="n">
        <v>29</v>
      </c>
      <c r="K9" t="n">
        <v>29</v>
      </c>
    </row>
    <row r="10">
      <c r="A10" t="inlineStr">
        <is>
          <t>Patient has appointment</t>
        </is>
      </c>
      <c r="B10" t="n">
        <v>25</v>
      </c>
      <c r="C10" t="n">
        <v>25</v>
      </c>
      <c r="D10" t="n">
        <v>25</v>
      </c>
      <c r="E10" t="n">
        <v>25</v>
      </c>
      <c r="F10" t="n">
        <v>25</v>
      </c>
      <c r="G10" t="n">
        <v>25</v>
      </c>
      <c r="H10" t="n">
        <v>25</v>
      </c>
      <c r="I10" t="n">
        <v>25</v>
      </c>
      <c r="J10" t="n">
        <v>25</v>
      </c>
      <c r="K10" t="n">
        <v>25</v>
      </c>
    </row>
    <row r="11">
      <c r="A11" t="inlineStr">
        <is>
          <t>Priority group wait</t>
        </is>
      </c>
      <c r="B11" t="n">
        <v>2.706</v>
      </c>
      <c r="C11" t="n">
        <v>11.05</v>
      </c>
      <c r="D11" t="n">
        <v>10.161</v>
      </c>
      <c r="E11" t="n">
        <v>13.276</v>
      </c>
      <c r="F11" t="n">
        <v>16.412</v>
      </c>
      <c r="G11" t="n">
        <v>9.632999999999999</v>
      </c>
      <c r="H11" t="n">
        <v>3.505</v>
      </c>
      <c r="I11" t="n">
        <v>6.628</v>
      </c>
      <c r="J11" t="n">
        <v>9.558999999999999</v>
      </c>
      <c r="K11" t="n">
        <v>13.103</v>
      </c>
    </row>
    <row r="12">
      <c r="A12" t="inlineStr">
        <is>
          <t>Priotizied patients</t>
        </is>
      </c>
      <c r="B12" t="n">
        <v>2</v>
      </c>
      <c r="C12" t="n">
        <v>2</v>
      </c>
      <c r="D12" t="n">
        <v>4</v>
      </c>
      <c r="E12" t="n">
        <v>9</v>
      </c>
      <c r="F12" t="n">
        <v>6</v>
      </c>
      <c r="G12" t="n">
        <v>2</v>
      </c>
      <c r="H12" t="n">
        <v>2</v>
      </c>
      <c r="I12" t="n">
        <v>3</v>
      </c>
      <c r="J12" t="n">
        <v>7</v>
      </c>
      <c r="K12" t="n">
        <v>8</v>
      </c>
    </row>
    <row r="13" ht="15.75" customHeight="1" thickBot="1">
      <c r="C13" t="inlineStr">
        <is>
          <t>Std. Dev.</t>
        </is>
      </c>
      <c r="D13" t="inlineStr">
        <is>
          <t>CI</t>
        </is>
      </c>
      <c r="E13" t="inlineStr">
        <is>
          <t>New CI</t>
        </is>
      </c>
      <c r="F13" t="inlineStr">
        <is>
          <t>Required Sample Size</t>
        </is>
      </c>
      <c r="G13" t="inlineStr">
        <is>
          <t>CI Test</t>
        </is>
      </c>
    </row>
    <row r="14" ht="15.75" customHeight="1" thickBot="1">
      <c r="A14" s="4" t="inlineStr">
        <is>
          <t>Average patient age</t>
        </is>
      </c>
      <c r="B14">
        <f>AVERAGE(B7:K7)</f>
        <v/>
      </c>
      <c r="C14">
        <f>_xlfn.STDEV.S(B7:K7)</f>
        <v/>
      </c>
      <c r="D14">
        <f>CONFIDENCE(0.05,C14,10)</f>
        <v/>
      </c>
      <c r="E14">
        <f>D14*0.9</f>
        <v/>
      </c>
      <c r="F14" t="n">
        <v>12</v>
      </c>
      <c r="G14">
        <f>CONFIDENCE(0.05,C14,12)</f>
        <v/>
      </c>
    </row>
    <row r="15" ht="15.75" customHeight="1" thickBot="1">
      <c r="A15" s="5" t="inlineStr">
        <is>
          <t>Average number of patients has appointment</t>
        </is>
      </c>
      <c r="B15">
        <f>AVERAGE(B10:K10)</f>
        <v/>
      </c>
      <c r="C15">
        <f>_xlfn.STDEV.S(B10:K10)</f>
        <v/>
      </c>
      <c r="D15">
        <f>CONFIDENCE(0.05,C15,10)</f>
        <v/>
      </c>
      <c r="E15">
        <f>D15*0.9</f>
        <v/>
      </c>
      <c r="G15">
        <f>CONFIDENCE(0.05,C15,10)</f>
        <v/>
      </c>
    </row>
    <row r="16" ht="15.75" customHeight="1" thickBot="1">
      <c r="A16" s="5" t="inlineStr">
        <is>
          <t>Average number of patients without appointment</t>
        </is>
      </c>
      <c r="B16">
        <f>AVERAGE(B9:K9)</f>
        <v/>
      </c>
      <c r="C16">
        <f>_xlfn.STDEV.S(B9:K9)</f>
        <v/>
      </c>
      <c r="D16">
        <f>CONFIDENCE(0.05,C16,10)</f>
        <v/>
      </c>
      <c r="E16">
        <f>D16*0.9</f>
        <v/>
      </c>
      <c r="F16" t="n">
        <v>12</v>
      </c>
      <c r="G16">
        <f>CONFIDENCE(0.05,C16,12)</f>
        <v/>
      </c>
    </row>
    <row r="17" ht="15.75" customHeight="1" thickBot="1">
      <c r="A17" s="5" t="inlineStr">
        <is>
          <t>Average wait time for registration</t>
        </is>
      </c>
      <c r="B17" s="1">
        <f>AVERAGE(B4:K4)</f>
        <v/>
      </c>
      <c r="C17">
        <f>_xlfn.STDEV.S(B4:K4)</f>
        <v/>
      </c>
      <c r="D17">
        <f>CONFIDENCE(0.05,C17,10)</f>
        <v/>
      </c>
      <c r="E17">
        <f>D17*0.9</f>
        <v/>
      </c>
      <c r="G17">
        <f>CONFIDENCE(0.05,C17,10)</f>
        <v/>
      </c>
    </row>
    <row r="18" ht="15.75" customHeight="1" thickBot="1">
      <c r="A18" s="5" t="inlineStr">
        <is>
          <t>Average registration time</t>
        </is>
      </c>
      <c r="B18">
        <f>AVERAGE(B5:K5)</f>
        <v/>
      </c>
      <c r="C18">
        <f>_xlfn.STDEV.S(B5:K5)</f>
        <v/>
      </c>
      <c r="D18">
        <f>CONFIDENCE(0.05,C18,10)</f>
        <v/>
      </c>
      <c r="E18">
        <f>D18*0.9</f>
        <v/>
      </c>
      <c r="G18">
        <f>CONFIDENCE(0.05,C18,10)</f>
        <v/>
      </c>
    </row>
    <row r="19" ht="15.75" customHeight="1" thickBot="1">
      <c r="A19" s="5" t="inlineStr">
        <is>
          <t>Average wait for examination</t>
        </is>
      </c>
      <c r="B19">
        <f>AVERAGE(B3:K3)</f>
        <v/>
      </c>
      <c r="C19">
        <f>_xlfn.STDEV.S(B3:K3)</f>
        <v/>
      </c>
      <c r="D19">
        <f>CONFIDENCE(0.05,C19,10)</f>
        <v/>
      </c>
      <c r="E19">
        <f>D19*0.9</f>
        <v/>
      </c>
      <c r="G19">
        <f>CONFIDENCE(0.05,C19,12)</f>
        <v/>
      </c>
    </row>
    <row r="20" ht="15.75" customHeight="1" thickBot="1">
      <c r="A20" s="5" t="inlineStr">
        <is>
          <t>Average wait for examination (priority group)</t>
        </is>
      </c>
      <c r="B20">
        <f>AVERAGE(B11:K11)</f>
        <v/>
      </c>
      <c r="C20">
        <f>_xlfn.STDEV.S(B11:K11)</f>
        <v/>
      </c>
      <c r="D20">
        <f>CONFIDENCE(0.05,C20,10)</f>
        <v/>
      </c>
      <c r="E20">
        <f>D20*0.9</f>
        <v/>
      </c>
      <c r="G20">
        <f>CONFIDENCE(0.05,C20,10)</f>
        <v/>
      </c>
    </row>
    <row r="21" ht="15.75" customHeight="1" thickBot="1">
      <c r="A21" s="5" t="inlineStr">
        <is>
          <t>Average examination time</t>
        </is>
      </c>
      <c r="B21">
        <f>AVERAGE(B6:K6)</f>
        <v/>
      </c>
      <c r="C21">
        <f>_xlfn.STDEV.S(B6:K6)</f>
        <v/>
      </c>
      <c r="D21">
        <f>CONFIDENCE(0.05,C21,10)</f>
        <v/>
      </c>
      <c r="E21">
        <f>D21*0.9</f>
        <v/>
      </c>
      <c r="G21">
        <f>CONFIDENCE(0.05,C21,10)</f>
        <v/>
      </c>
    </row>
    <row r="22" ht="15.75" customHeight="1" thickBot="1">
      <c r="A22" s="5" t="inlineStr">
        <is>
          <t>Length of stay</t>
        </is>
      </c>
      <c r="B22">
        <f>AVERAGE(B8:K8)</f>
        <v/>
      </c>
      <c r="C22">
        <f>_xlfn.STDEV.S(B8:K8)</f>
        <v/>
      </c>
      <c r="D22">
        <f>CONFIDENCE(0.05,C22,10)</f>
        <v/>
      </c>
      <c r="E22">
        <f>D22*0.9</f>
        <v/>
      </c>
      <c r="G22">
        <f>CONFIDENCE(0.05,C22,13)</f>
        <v/>
      </c>
    </row>
    <row r="23" ht="15.75" customHeight="1" thickBot="1">
      <c r="A23" s="5" t="inlineStr">
        <is>
          <t>Wait time difference between priority group and others</t>
        </is>
      </c>
      <c r="B23" s="2">
        <f>(B19-B20)/B19</f>
        <v/>
      </c>
    </row>
    <row r="26">
      <c r="A26" s="3" t="inlineStr">
        <is>
          <t>Confidence</t>
        </is>
      </c>
    </row>
    <row r="27">
      <c r="A27" t="inlineStr">
        <is>
          <t>Significance</t>
        </is>
      </c>
      <c r="B27" t="n">
        <v>0.05</v>
      </c>
    </row>
    <row r="28">
      <c r="A28" t="inlineStr">
        <is>
          <t>Standard deviation</t>
        </is>
      </c>
      <c r="B28">
        <f>_xlfn.STDEV.S(B7:K7)</f>
        <v/>
      </c>
    </row>
    <row r="29">
      <c r="A29" t="inlineStr">
        <is>
          <t>Sample size</t>
        </is>
      </c>
      <c r="B29" t="n">
        <v>10</v>
      </c>
    </row>
    <row r="30">
      <c r="A30" t="inlineStr">
        <is>
          <t>Confidence interval</t>
        </is>
      </c>
      <c r="B30">
        <f>CONFIDENCE(B27,B28,B29)</f>
        <v/>
      </c>
    </row>
    <row r="32" ht="15.75" customHeight="1" thickBot="1">
      <c r="B32" t="inlineStr">
        <is>
          <t>Prediction Interval</t>
        </is>
      </c>
      <c r="C32" t="inlineStr">
        <is>
          <t>talpha/2,n−1</t>
        </is>
      </c>
      <c r="D32" t="inlineStr">
        <is>
          <t>Critical number</t>
        </is>
      </c>
      <c r="E32" t="inlineStr">
        <is>
          <t>Standard error</t>
        </is>
      </c>
      <c r="F32" t="inlineStr">
        <is>
          <t>confidence-interval half-width</t>
        </is>
      </c>
      <c r="G32" t="inlineStr">
        <is>
          <t>CI HW target</t>
        </is>
      </c>
      <c r="H32" t="inlineStr">
        <is>
          <t>CI HW test</t>
        </is>
      </c>
    </row>
    <row r="33" ht="15.75" customHeight="1" thickBot="1">
      <c r="A33" s="4" t="inlineStr">
        <is>
          <t>Average patient age</t>
        </is>
      </c>
      <c r="B33">
        <f>$C$33*C14*SQRT(1+(1/10))</f>
        <v/>
      </c>
      <c r="C33" t="n">
        <v>2.26211</v>
      </c>
      <c r="D33">
        <f>_xlfn.T.INV(0.975,9)</f>
        <v/>
      </c>
      <c r="E33">
        <f>C14/SQRT(10)</f>
        <v/>
      </c>
      <c r="F33">
        <f>E33*$D$33</f>
        <v/>
      </c>
      <c r="G33">
        <f>F33*0.9</f>
        <v/>
      </c>
    </row>
    <row r="34" ht="15.75" customHeight="1" thickBot="1">
      <c r="A34" s="5" t="inlineStr">
        <is>
          <t>Average number of patients has appointment</t>
        </is>
      </c>
      <c r="B34">
        <f>$C$33*C15*SQRT(1+(1/10))</f>
        <v/>
      </c>
      <c r="E34">
        <f>C15/SQRT(10)</f>
        <v/>
      </c>
      <c r="F34">
        <f>E34*$D$33</f>
        <v/>
      </c>
      <c r="G34">
        <f>F34*0.9</f>
        <v/>
      </c>
    </row>
    <row r="35" ht="15.75" customHeight="1" thickBot="1">
      <c r="A35" s="5" t="inlineStr">
        <is>
          <t>Average number of patients without appointment</t>
        </is>
      </c>
      <c r="B35">
        <f>$C$33*C16*SQRT(1+(1/10))</f>
        <v/>
      </c>
      <c r="E35">
        <f>C16/SQRT(10)</f>
        <v/>
      </c>
      <c r="F35">
        <f>E35*$D$33</f>
        <v/>
      </c>
      <c r="G35">
        <f>F35*0.9</f>
        <v/>
      </c>
    </row>
    <row r="36" ht="15.75" customHeight="1" thickBot="1">
      <c r="A36" s="5" t="inlineStr">
        <is>
          <t>Average wait time for registration</t>
        </is>
      </c>
      <c r="B36">
        <f>$C$33*C17*SQRT(1+(1/10))</f>
        <v/>
      </c>
      <c r="E36">
        <f>C17/SQRT(10)</f>
        <v/>
      </c>
      <c r="F36">
        <f>E36*$D$33</f>
        <v/>
      </c>
      <c r="G36">
        <f>F36*0.9</f>
        <v/>
      </c>
    </row>
    <row r="37" ht="15.75" customHeight="1" thickBot="1">
      <c r="A37" s="5" t="inlineStr">
        <is>
          <t>Average registration time</t>
        </is>
      </c>
      <c r="B37">
        <f>$C$33*C18*SQRT(1+(1/10))</f>
        <v/>
      </c>
      <c r="E37">
        <f>C18/SQRT(10)</f>
        <v/>
      </c>
      <c r="F37">
        <f>E37*$D$33</f>
        <v/>
      </c>
      <c r="G37">
        <f>F37*0.9</f>
        <v/>
      </c>
    </row>
    <row r="38" ht="15.75" customHeight="1" thickBot="1">
      <c r="A38" s="5" t="inlineStr">
        <is>
          <t>Average wait for examination</t>
        </is>
      </c>
      <c r="B38">
        <f>$C$33*C19*SQRT(1+(1/10))</f>
        <v/>
      </c>
      <c r="E38">
        <f>C19/SQRT(10)</f>
        <v/>
      </c>
      <c r="F38">
        <f>E38*$D$33</f>
        <v/>
      </c>
      <c r="G38">
        <f>F38*0.9</f>
        <v/>
      </c>
    </row>
    <row r="39" ht="15.75" customHeight="1" thickBot="1">
      <c r="A39" s="5" t="inlineStr">
        <is>
          <t>Average wait for examination (priority group)</t>
        </is>
      </c>
      <c r="B39">
        <f>$C$33*C20*SQRT(1+(1/10))</f>
        <v/>
      </c>
      <c r="E39">
        <f>C20/SQRT(10)</f>
        <v/>
      </c>
      <c r="F39">
        <f>E39*$D$33</f>
        <v/>
      </c>
      <c r="G39">
        <f>F39*0.9</f>
        <v/>
      </c>
    </row>
    <row r="40" ht="15.75" customHeight="1" thickBot="1">
      <c r="A40" s="5" t="inlineStr">
        <is>
          <t>Average examination time</t>
        </is>
      </c>
      <c r="B40">
        <f>$C$33*C21*SQRT(1+(1/10))</f>
        <v/>
      </c>
      <c r="E40">
        <f>C21/SQRT(10)</f>
        <v/>
      </c>
      <c r="F40">
        <f>E40*$D$33</f>
        <v/>
      </c>
      <c r="G40">
        <f>F40*0.9</f>
        <v/>
      </c>
    </row>
    <row r="41" ht="15.75" customHeight="1" thickBot="1">
      <c r="A41" s="5" t="inlineStr">
        <is>
          <t>Length of stay</t>
        </is>
      </c>
      <c r="B41">
        <f>$C$33*C22*SQRT(1+(1/10))</f>
        <v/>
      </c>
      <c r="E41">
        <f>C22/SQRT(10)</f>
        <v/>
      </c>
      <c r="F41">
        <f>E41*$D$33</f>
        <v/>
      </c>
      <c r="G41">
        <f>F41*0.9</f>
        <v/>
      </c>
      <c r="H41">
        <f>$D$33*(C22/SQRT(13))</f>
        <v/>
      </c>
    </row>
    <row r="42" ht="15.75" customHeight="1" thickBot="1">
      <c r="A42" s="5" t="inlineStr">
        <is>
          <t>Wait time difference between priority group and others</t>
        </is>
      </c>
      <c r="B42">
        <f>$C$33*C23*SQRT(1+(1/10))</f>
        <v/>
      </c>
      <c r="E42">
        <f>C23/SQRT(10)</f>
        <v/>
      </c>
      <c r="F42">
        <f>E42*$D$33</f>
        <v/>
      </c>
      <c r="G42">
        <f>F42*0.9</f>
        <v/>
      </c>
    </row>
  </sheetData>
  <mergeCells count="1">
    <mergeCell ref="B1:K1"/>
  </mergeCells>
  <pageMargins left="0.7" right="0.7" top="0.75" bottom="0.75" header="0.3" footer="0.3"/>
  <pageSetup orientation="portrait" paperSize="9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D12" sqref="D12"/>
    </sheetView>
  </sheetViews>
  <sheetFormatPr baseColWidth="8" defaultRowHeight="15"/>
  <cols>
    <col width="14.28515625" bestFit="1" customWidth="1" min="1" max="1"/>
    <col width="15.85546875" bestFit="1" customWidth="1" min="2" max="2"/>
    <col width="9.5703125" bestFit="1" customWidth="1" min="5" max="6"/>
  </cols>
  <sheetData>
    <row r="1" ht="16.5" customHeight="1" thickBot="1">
      <c r="A1" s="6" t="inlineStr">
        <is>
          <t>CI Base</t>
        </is>
      </c>
      <c r="B1" s="7" t="inlineStr">
        <is>
          <t>CI Alternative</t>
        </is>
      </c>
    </row>
    <row r="2" ht="15.75" customHeight="1" thickBot="1">
      <c r="A2" s="8" t="n">
        <v>1.12377744</v>
      </c>
      <c r="B2" s="9" t="n">
        <v>2.037611</v>
      </c>
    </row>
    <row r="3" ht="15.75" customHeight="1" thickBot="1">
      <c r="A3" s="8" t="n">
        <v>1.40729721</v>
      </c>
      <c r="B3" s="9" t="n">
        <v>2.111957</v>
      </c>
    </row>
    <row r="4" ht="15.75" customHeight="1" thickBot="1">
      <c r="A4" s="8" t="n">
        <v>3.38703881</v>
      </c>
      <c r="B4" s="9" t="n">
        <v>2.40337</v>
      </c>
      <c r="D4" t="inlineStr">
        <is>
          <t>AVG</t>
        </is>
      </c>
      <c r="E4" s="10">
        <f>AVERAGE(A2:A9)</f>
        <v/>
      </c>
      <c r="F4" s="10">
        <f>AVERAGE(B2:B9)</f>
        <v/>
      </c>
    </row>
    <row r="5" ht="15.75" customHeight="1" thickBot="1">
      <c r="A5" s="8" t="n">
        <v>0.10810642</v>
      </c>
      <c r="B5" s="9" t="n">
        <v>0.09460499999999999</v>
      </c>
    </row>
    <row r="6" ht="15.75" customHeight="1" thickBot="1">
      <c r="A6" s="8" t="n">
        <v>15.4548991</v>
      </c>
      <c r="B6" s="9" t="n">
        <v>17.32536</v>
      </c>
      <c r="D6" t="inlineStr">
        <is>
          <t>DIFF</t>
        </is>
      </c>
      <c r="E6">
        <f>(E4-F4)/E4</f>
        <v/>
      </c>
    </row>
    <row r="7" ht="15.75" customHeight="1" thickBot="1">
      <c r="A7" s="8" t="n">
        <v>30.4602259</v>
      </c>
      <c r="B7" s="9" t="n">
        <v>2.678747</v>
      </c>
    </row>
    <row r="8" ht="15.75" customHeight="1" thickBot="1">
      <c r="A8" s="8" t="n">
        <v>0.3536569</v>
      </c>
      <c r="B8" s="9" t="n">
        <v>0.218834</v>
      </c>
    </row>
    <row r="9" ht="15.75" customHeight="1" thickBot="1">
      <c r="A9" s="8" t="n">
        <v>16.5724348</v>
      </c>
      <c r="B9" s="9" t="n">
        <v>17.92276</v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2023-06-24T10:55:47Z</dcterms:created>
  <dcterms:modified xmlns:dcterms="http://purl.org/dc/terms/" xmlns:xsi="http://www.w3.org/2001/XMLSchema-instance" xsi:type="dcterms:W3CDTF">2026-10-28T12:09:08Z</dcterms:modified>
  <cp:lastModifiedBy/>
</cp:coreProperties>
</file>